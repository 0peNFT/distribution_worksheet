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3395" windowHeight="62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C7" i="1" l="1"/>
  <c r="F8" i="1"/>
  <c r="F10" i="1"/>
  <c r="F11" i="1" s="1"/>
  <c r="F13" i="1" s="1"/>
  <c r="F15" i="1" l="1"/>
  <c r="F16" i="1"/>
  <c r="F18" i="1"/>
  <c r="F3" i="1"/>
  <c r="F21" i="1" l="1"/>
  <c r="F20" i="1"/>
  <c r="C6" i="1"/>
  <c r="C29" i="1" s="1"/>
  <c r="C5" i="1"/>
  <c r="C28" i="1" s="1"/>
  <c r="C3" i="1" l="1"/>
  <c r="C26" i="1" s="1"/>
  <c r="C4" i="1"/>
  <c r="C27" i="1" s="1"/>
  <c r="B27" i="1" s="1"/>
  <c r="C2" i="1"/>
  <c r="G11" i="1" l="1"/>
  <c r="H11" i="1" s="1"/>
  <c r="G10" i="1"/>
  <c r="G13" i="1"/>
  <c r="H13" i="1" s="1"/>
  <c r="C25" i="1"/>
  <c r="B25" i="1" s="1"/>
  <c r="B29" i="1"/>
  <c r="B26" i="1"/>
  <c r="B28" i="1"/>
  <c r="G18" i="1" l="1"/>
  <c r="H18" i="1" s="1"/>
  <c r="G15" i="1"/>
  <c r="H15" i="1" s="1"/>
  <c r="G16" i="1"/>
  <c r="H16" i="1" s="1"/>
  <c r="G21" i="1"/>
  <c r="H21" i="1" s="1"/>
  <c r="G20" i="1"/>
  <c r="H20" i="1" s="1"/>
</calcChain>
</file>

<file path=xl/sharedStrings.xml><?xml version="1.0" encoding="utf-8"?>
<sst xmlns="http://schemas.openxmlformats.org/spreadsheetml/2006/main" count="33" uniqueCount="27">
  <si>
    <t>User/Artist Rewards</t>
  </si>
  <si>
    <t>Treasury</t>
  </si>
  <si>
    <t>Variables</t>
  </si>
  <si>
    <t>Inputs</t>
  </si>
  <si>
    <t>Inflation</t>
  </si>
  <si>
    <t>Innitial Total</t>
  </si>
  <si>
    <t>Incentive Weeks</t>
  </si>
  <si>
    <t>Years Passed</t>
  </si>
  <si>
    <t>NOTES</t>
  </si>
  <si>
    <t>Dev Supply</t>
  </si>
  <si>
    <t>Presale</t>
  </si>
  <si>
    <t xml:space="preserve">Largest proportion of token supply is distributed to platform users over a lengthy 3 year timeframe, allows maximal participance. </t>
  </si>
  <si>
    <t>3 year vesting of dev funds.  Cliff vesting, every 3 months - over 3 years</t>
  </si>
  <si>
    <r>
      <t>A </t>
    </r>
    <r>
      <rPr>
        <b/>
        <sz val="10"/>
        <color rgb="FF191B1F"/>
        <rFont val="Calibri"/>
        <family val="2"/>
        <scheme val="minor"/>
      </rPr>
      <t>perpetual inflation rate of 3% per year after innitial 3 years</t>
    </r>
    <r>
      <rPr>
        <sz val="10"/>
        <color rgb="FF010101"/>
        <rFont val="Calibri"/>
        <family val="2"/>
        <scheme val="minor"/>
      </rPr>
      <t>, allows for rewards to flow to artists and users for gamifying.</t>
    </r>
  </si>
  <si>
    <t>After 10 years:</t>
  </si>
  <si>
    <t>Treasury funds will not be used on the platform and will go towards an ETH-ONFT LP pair, and partnerships.</t>
  </si>
  <si>
    <t>Innitial Drop</t>
  </si>
  <si>
    <t>Initial Drop</t>
  </si>
  <si>
    <t>Inflation Budget</t>
  </si>
  <si>
    <t>Inflation Per Week</t>
  </si>
  <si>
    <t>PERMANENT / FIXED INFLATION (3%)</t>
  </si>
  <si>
    <t>Cumulative Inflation</t>
  </si>
  <si>
    <t>Inflation To Users (65%)</t>
  </si>
  <si>
    <t>Competition Rewards(35%)</t>
  </si>
  <si>
    <t>Staking Rewards(65%)</t>
  </si>
  <si>
    <t>Inflation To Artists(35%)</t>
  </si>
  <si>
    <t>TEMPORARY INFLATION (156 WEEKS, 3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</si>
</sst>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10101"/>
      <name val="Calibri"/>
      <family val="2"/>
      <scheme val="minor"/>
    </font>
    <font>
      <b/>
      <sz val="10"/>
      <color rgb="FF191B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+10y</a:t>
            </a:r>
            <a:r>
              <a:rPr lang="en-US" baseline="0"/>
              <a:t> Inflation $ONFT Distribution</a:t>
            </a:r>
            <a:endParaRPr 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Sheet1!$A$25:$A$29</c:f>
              <c:strCache>
                <c:ptCount val="5"/>
                <c:pt idx="0">
                  <c:v>User/Artist Rewards</c:v>
                </c:pt>
                <c:pt idx="1">
                  <c:v>Initial Drop</c:v>
                </c:pt>
                <c:pt idx="2">
                  <c:v>Presale</c:v>
                </c:pt>
                <c:pt idx="3">
                  <c:v>Dev Supply</c:v>
                </c:pt>
                <c:pt idx="4">
                  <c:v>Treasury</c:v>
                </c:pt>
              </c:strCache>
            </c:strRef>
          </c:cat>
          <c:val>
            <c:numRef>
              <c:f>Sheet1!$B$25:$B$29</c:f>
              <c:numCache>
                <c:formatCode>0.00%</c:formatCode>
                <c:ptCount val="5"/>
                <c:pt idx="0">
                  <c:v>0.33001259465307647</c:v>
                </c:pt>
                <c:pt idx="1">
                  <c:v>0.25124527700509636</c:v>
                </c:pt>
                <c:pt idx="2">
                  <c:v>0.12562263850254818</c:v>
                </c:pt>
                <c:pt idx="3">
                  <c:v>0.20937106417091361</c:v>
                </c:pt>
                <c:pt idx="4">
                  <c:v>8.3748425668365448E-2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$ONFT</a:t>
            </a:r>
            <a:r>
              <a:rPr lang="en-US" baseline="0"/>
              <a:t> Distribution</a:t>
            </a:r>
            <a:endParaRPr 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Sheet1!$A$2:$A$6</c:f>
              <c:strCache>
                <c:ptCount val="5"/>
                <c:pt idx="0">
                  <c:v>User/Artist Rewards</c:v>
                </c:pt>
                <c:pt idx="1">
                  <c:v>Innitial Drop</c:v>
                </c:pt>
                <c:pt idx="2">
                  <c:v>Presale</c:v>
                </c:pt>
                <c:pt idx="3">
                  <c:v>Dev Supply</c:v>
                </c:pt>
                <c:pt idx="4">
                  <c:v>Treasury</c:v>
                </c:pt>
              </c:strCache>
            </c:strRef>
          </c:cat>
          <c:val>
            <c:numRef>
              <c:f>Sheet1!$B$2:$B$6</c:f>
              <c:numCache>
                <c:formatCode>0%</c:formatCode>
                <c:ptCount val="5"/>
                <c:pt idx="0">
                  <c:v>0.2</c:v>
                </c:pt>
                <c:pt idx="1">
                  <c:v>0.3</c:v>
                </c:pt>
                <c:pt idx="2">
                  <c:v>0.15</c:v>
                </c:pt>
                <c:pt idx="3">
                  <c:v>0.25</c:v>
                </c:pt>
                <c:pt idx="4">
                  <c:v>0.1</c:v>
                </c:pt>
              </c:numCache>
            </c:numRef>
          </c:val>
        </c:ser>
        <c:ser>
          <c:idx val="1"/>
          <c:order val="1"/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Sheet1!$A$2:$A$6</c:f>
              <c:strCache>
                <c:ptCount val="5"/>
                <c:pt idx="0">
                  <c:v>User/Artist Rewards</c:v>
                </c:pt>
                <c:pt idx="1">
                  <c:v>Innitial Drop</c:v>
                </c:pt>
                <c:pt idx="2">
                  <c:v>Presale</c:v>
                </c:pt>
                <c:pt idx="3">
                  <c:v>Dev Supply</c:v>
                </c:pt>
                <c:pt idx="4">
                  <c:v>Treasury</c:v>
                </c:pt>
              </c:strCache>
            </c:strRef>
          </c:cat>
          <c:val>
            <c:numRef>
              <c:f>Sheet1!$C$2:$C$6</c:f>
              <c:numCache>
                <c:formatCode>#,##0</c:formatCode>
                <c:ptCount val="5"/>
                <c:pt idx="0">
                  <c:v>500000</c:v>
                </c:pt>
                <c:pt idx="1">
                  <c:v>750000</c:v>
                </c:pt>
                <c:pt idx="2">
                  <c:v>375000</c:v>
                </c:pt>
                <c:pt idx="3">
                  <c:v>625000</c:v>
                </c:pt>
                <c:pt idx="4">
                  <c:v>250000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41743</xdr:rowOff>
    </xdr:from>
    <xdr:to>
      <xdr:col>4</xdr:col>
      <xdr:colOff>0</xdr:colOff>
      <xdr:row>44</xdr:row>
      <xdr:rowOff>117943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67236</xdr:rowOff>
    </xdr:from>
    <xdr:to>
      <xdr:col>3</xdr:col>
      <xdr:colOff>112058</xdr:colOff>
      <xdr:row>21</xdr:row>
      <xdr:rowOff>116541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zoomScale="85" zoomScaleNormal="85" workbookViewId="0">
      <selection activeCell="F27" sqref="F27"/>
    </sheetView>
  </sheetViews>
  <sheetFormatPr defaultRowHeight="15" x14ac:dyDescent="0.25"/>
  <cols>
    <col min="1" max="1" width="25.42578125" customWidth="1"/>
    <col min="3" max="3" width="14.85546875" style="2" customWidth="1"/>
    <col min="5" max="5" width="29.42578125" customWidth="1"/>
    <col min="6" max="6" width="37.7109375" style="2" customWidth="1"/>
    <col min="7" max="8" width="52.7109375" style="2" customWidth="1"/>
    <col min="9" max="9" width="118.7109375" style="5" customWidth="1"/>
  </cols>
  <sheetData>
    <row r="1" spans="1:9" x14ac:dyDescent="0.25">
      <c r="F1" s="2" t="s">
        <v>20</v>
      </c>
      <c r="G1" s="2" t="s">
        <v>26</v>
      </c>
      <c r="H1" s="2" t="s">
        <v>21</v>
      </c>
      <c r="I1" s="5" t="s">
        <v>8</v>
      </c>
    </row>
    <row r="2" spans="1:9" x14ac:dyDescent="0.25">
      <c r="A2" t="s">
        <v>0</v>
      </c>
      <c r="B2" s="1">
        <v>0.2</v>
      </c>
      <c r="C2" s="2">
        <f>B2 * F7</f>
        <v>500000</v>
      </c>
      <c r="E2" t="s">
        <v>2</v>
      </c>
      <c r="F2" s="2" t="s">
        <v>3</v>
      </c>
      <c r="I2" s="5" t="s">
        <v>11</v>
      </c>
    </row>
    <row r="3" spans="1:9" x14ac:dyDescent="0.25">
      <c r="A3" t="s">
        <v>16</v>
      </c>
      <c r="B3" s="1">
        <v>0.3</v>
      </c>
      <c r="C3" s="2">
        <f>B3 * F7</f>
        <v>750000</v>
      </c>
      <c r="E3" t="s">
        <v>6</v>
      </c>
      <c r="F3" s="2">
        <f xml:space="preserve"> 52 * 3</f>
        <v>156</v>
      </c>
      <c r="I3" s="5" t="s">
        <v>12</v>
      </c>
    </row>
    <row r="4" spans="1:9" x14ac:dyDescent="0.25">
      <c r="A4" t="s">
        <v>10</v>
      </c>
      <c r="B4" s="1">
        <v>0.15</v>
      </c>
      <c r="C4" s="2">
        <f>B4 * F7</f>
        <v>375000</v>
      </c>
      <c r="E4" t="s">
        <v>4</v>
      </c>
      <c r="F4" s="3">
        <v>1.03</v>
      </c>
      <c r="I4" s="5" t="s">
        <v>15</v>
      </c>
    </row>
    <row r="5" spans="1:9" x14ac:dyDescent="0.25">
      <c r="A5" t="s">
        <v>9</v>
      </c>
      <c r="B5" s="1">
        <v>0.25</v>
      </c>
      <c r="C5" s="2">
        <f>B5 * F7</f>
        <v>625000</v>
      </c>
      <c r="E5" t="s">
        <v>7</v>
      </c>
      <c r="F5" s="2">
        <v>10</v>
      </c>
      <c r="I5" s="6" t="s">
        <v>13</v>
      </c>
    </row>
    <row r="6" spans="1:9" x14ac:dyDescent="0.25">
      <c r="A6" t="s">
        <v>1</v>
      </c>
      <c r="B6" s="1">
        <v>0.1</v>
      </c>
      <c r="C6" s="2">
        <f>B6 * F7</f>
        <v>250000</v>
      </c>
    </row>
    <row r="7" spans="1:9" x14ac:dyDescent="0.25">
      <c r="C7" s="2">
        <f>SUM(C2:C6)</f>
        <v>2500000</v>
      </c>
      <c r="E7" t="s">
        <v>5</v>
      </c>
      <c r="F7" s="2">
        <v>2500000</v>
      </c>
    </row>
    <row r="8" spans="1:9" x14ac:dyDescent="0.25">
      <c r="E8" t="s">
        <v>14</v>
      </c>
      <c r="F8" s="2">
        <f>F7*F4^(F5-4)</f>
        <v>2985130.7413224997</v>
      </c>
    </row>
    <row r="10" spans="1:9" x14ac:dyDescent="0.25">
      <c r="E10" s="8" t="s">
        <v>18</v>
      </c>
      <c r="F10" s="8">
        <f>F7*F4-F7</f>
        <v>75000</v>
      </c>
      <c r="G10" s="8">
        <f>C2</f>
        <v>500000</v>
      </c>
    </row>
    <row r="11" spans="1:9" x14ac:dyDescent="0.25">
      <c r="E11" s="8" t="s">
        <v>19</v>
      </c>
      <c r="F11" s="8">
        <f>F10/52</f>
        <v>1442.3076923076924</v>
      </c>
      <c r="G11" s="8">
        <f>C2/F3</f>
        <v>3205.1282051282051</v>
      </c>
      <c r="H11" s="2">
        <f>F11+G11</f>
        <v>4647.4358974358975</v>
      </c>
    </row>
    <row r="13" spans="1:9" x14ac:dyDescent="0.25">
      <c r="E13" s="9" t="s">
        <v>22</v>
      </c>
      <c r="F13" s="9">
        <f>F11*0.65</f>
        <v>937.50000000000011</v>
      </c>
      <c r="G13" s="9">
        <f>G11*0.65</f>
        <v>2083.3333333333335</v>
      </c>
      <c r="H13" s="9">
        <f>F13+G13</f>
        <v>3020.8333333333335</v>
      </c>
    </row>
    <row r="14" spans="1:9" x14ac:dyDescent="0.25">
      <c r="E14" s="9"/>
      <c r="F14" s="9"/>
      <c r="G14" s="9"/>
      <c r="H14" s="9"/>
    </row>
    <row r="15" spans="1:9" x14ac:dyDescent="0.25">
      <c r="E15" s="9" t="s">
        <v>23</v>
      </c>
      <c r="F15" s="9">
        <f>F13*0.35</f>
        <v>328.125</v>
      </c>
      <c r="G15" s="9">
        <f>G13*0.35</f>
        <v>729.16666666666663</v>
      </c>
      <c r="H15" s="9">
        <f>F15+G15</f>
        <v>1057.2916666666665</v>
      </c>
    </row>
    <row r="16" spans="1:9" x14ac:dyDescent="0.25">
      <c r="E16" s="9" t="s">
        <v>24</v>
      </c>
      <c r="F16" s="9">
        <f>F13*0.65</f>
        <v>609.37500000000011</v>
      </c>
      <c r="G16" s="9">
        <f>G13*0.65</f>
        <v>1354.1666666666667</v>
      </c>
      <c r="H16" s="9">
        <f>F16+G16</f>
        <v>1963.541666666667</v>
      </c>
    </row>
    <row r="17" spans="1:8" x14ac:dyDescent="0.25">
      <c r="E17" s="2"/>
    </row>
    <row r="18" spans="1:8" x14ac:dyDescent="0.25">
      <c r="E18" s="7" t="s">
        <v>25</v>
      </c>
      <c r="F18" s="7">
        <f>F11*0.35</f>
        <v>504.80769230769232</v>
      </c>
      <c r="G18" s="7">
        <f>G11*0.35</f>
        <v>1121.7948717948716</v>
      </c>
      <c r="H18" s="7">
        <f>F18+G18</f>
        <v>1626.602564102564</v>
      </c>
    </row>
    <row r="19" spans="1:8" x14ac:dyDescent="0.25">
      <c r="E19" s="7"/>
      <c r="F19" s="7"/>
      <c r="G19" s="7"/>
      <c r="H19" s="7"/>
    </row>
    <row r="20" spans="1:8" x14ac:dyDescent="0.25">
      <c r="E20" s="7" t="s">
        <v>23</v>
      </c>
      <c r="F20" s="7">
        <f>F18*0.35</f>
        <v>176.68269230769229</v>
      </c>
      <c r="G20" s="7">
        <f>G18*0.35</f>
        <v>392.62820512820502</v>
      </c>
      <c r="H20" s="7">
        <f>F20+G20</f>
        <v>569.31089743589735</v>
      </c>
    </row>
    <row r="21" spans="1:8" x14ac:dyDescent="0.25">
      <c r="E21" s="7" t="s">
        <v>24</v>
      </c>
      <c r="F21" s="7">
        <f>F18*0.65</f>
        <v>328.125</v>
      </c>
      <c r="G21" s="7">
        <f>G18*0.65</f>
        <v>729.16666666666652</v>
      </c>
      <c r="H21" s="7">
        <f>F21+G21</f>
        <v>1057.2916666666665</v>
      </c>
    </row>
    <row r="22" spans="1:8" x14ac:dyDescent="0.25">
      <c r="E22" s="2"/>
      <c r="F22"/>
    </row>
    <row r="25" spans="1:8" x14ac:dyDescent="0.25">
      <c r="A25" t="s">
        <v>0</v>
      </c>
      <c r="B25" s="4">
        <f>C25/F8</f>
        <v>0.33001259465307647</v>
      </c>
      <c r="C25" s="2">
        <f>F8 - SUM(C3, C4,C5, C6)</f>
        <v>985130.7413224997</v>
      </c>
    </row>
    <row r="26" spans="1:8" x14ac:dyDescent="0.25">
      <c r="A26" t="s">
        <v>17</v>
      </c>
      <c r="B26" s="4">
        <f>C26/F8</f>
        <v>0.25124527700509636</v>
      </c>
      <c r="C26" s="2">
        <f>C3</f>
        <v>750000</v>
      </c>
    </row>
    <row r="27" spans="1:8" x14ac:dyDescent="0.25">
      <c r="A27" t="s">
        <v>10</v>
      </c>
      <c r="B27" s="4">
        <f>C27/F8</f>
        <v>0.12562263850254818</v>
      </c>
      <c r="C27" s="2">
        <f>C4</f>
        <v>375000</v>
      </c>
    </row>
    <row r="28" spans="1:8" x14ac:dyDescent="0.25">
      <c r="A28" t="s">
        <v>9</v>
      </c>
      <c r="B28" s="4">
        <f>C28/F8</f>
        <v>0.20937106417091361</v>
      </c>
      <c r="C28" s="2">
        <f>C5</f>
        <v>625000</v>
      </c>
    </row>
    <row r="29" spans="1:8" x14ac:dyDescent="0.25">
      <c r="A29" t="s">
        <v>1</v>
      </c>
      <c r="B29" s="4">
        <f>C29/F8</f>
        <v>8.3748425668365448E-2</v>
      </c>
      <c r="C29" s="2">
        <f>C6</f>
        <v>250000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2020-11-12T23:33:55Z</dcterms:created>
  <dcterms:modified xsi:type="dcterms:W3CDTF">2021-03-24T00:53:06Z</dcterms:modified>
</cp:coreProperties>
</file>